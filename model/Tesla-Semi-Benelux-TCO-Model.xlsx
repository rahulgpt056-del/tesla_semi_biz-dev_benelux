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ources" sheetId="4" state="visible" r:id="rId4"/>
  </sheets>
  <definedNames>
    <definedName name="FleetSize">Inputs!$B$5</definedName>
    <definedName name="DailyKm">Inputs!$B$6</definedName>
    <definedName name="OpDays">Inputs!$B$7</definedName>
    <definedName name="Payload">Inputs!$B$8</definedName>
    <definedName name="RouteFactor">Inputs!$B$9</definedName>
    <definedName name="DepotShare">Inputs!$B$10</definedName>
    <definedName name="Dwell">Inputs!$B$11</definedName>
    <definedName name="SemiKwh">Inputs!$B$13</definedName>
    <definedName name="ElecPrice">Inputs!$B$14</definedName>
    <definedName name="DieselPrice">Inputs!$B$15</definedName>
    <definedName name="DieselL100">Inputs!$B$16</definedName>
    <definedName name="ChargerKw">Inputs!$B$18</definedName>
    <definedName name="DepotKw">Inputs!$B$19</definedName>
    <definedName name="SemiRange">Inputs!$B$20</definedName>
    <definedName name="SemiCapex">Inputs!$B$22</definedName>
    <definedName name="DieselCapex">Inputs!$B$23</definedName>
    <definedName name="SemiMaintKm">Inputs!$B$24</definedName>
    <definedName name="DieselMaintKm">Inputs!$B$25</definedName>
    <definedName name="Aanzet">Inputs!$B$26</definedName>
    <definedName name="TollKm">Inputs!$B$27</definedName>
    <definedName name="ZEPaysToll">Inputs!$B$28</definedName>
    <definedName name="Years">Inputs!$B$30</definedName>
    <definedName name="PayloadRef">Inputs!$B$31</definedName>
    <definedName name="PayloadSens">Inputs!$B$32</definedName>
    <definedName name="ChargeEff">Inputs!$B$33</definedName>
    <definedName name="UsableCap">Inputs!$B$34</definedName>
    <definedName name="EffKwh">Model!$B$3</definedName>
    <definedName name="DailyPerTruck">Model!$B$4</definedName>
    <definedName name="FleetDaily">Model!$B$5</definedName>
    <definedName name="AnnualEnergy">Model!$B$6</definedName>
    <definedName name="FleetAnnualKm">Model!$B$7</definedName>
    <definedName name="DieselLitresYr">Model!$B$8</definedName>
    <definedName name="ChargeTime">Model!$B$9</definedName>
    <definedName name="TrucksPerCharger">Model!$B$10</definedName>
    <definedName name="ChargersNeeded">Model!$B$11</definedName>
    <definedName name="PeakLoad">Model!$B$12</definedName>
    <definedName name="UsableCapacity">Model!$B$13</definedName>
    <definedName name="CapacityOK">Model!$B$14</definedName>
    <definedName name="DutyFit">Model!$B$15</definedName>
    <definedName name="AnnualEnergyCost">Model!$B$17</definedName>
    <definedName name="AnnualDieselFuel">Model!$B$18</definedName>
    <definedName name="SemiToll">Model!$B$19</definedName>
    <definedName name="DieselToll">Model!$B$20</definedName>
    <definedName name="SemiCapexNet">Model!$B$21</definedName>
    <definedName name="DieselCapexTotal">Model!$B$22</definedName>
    <definedName name="SemiOpexYr">Model!$B$23</definedName>
    <definedName name="DieselOpexYr">Model!$B$24</definedName>
    <definedName name="SemiTCO">Model!$B$25</definedName>
    <definedName name="DieselTCO">Model!$B$26</definedName>
    <definedName name="Saving">Model!$B$27</definedName>
    <definedName name="SemiCPK">Model!$B$28</definedName>
    <definedName name="DieselCPK">Model!$B$29</definedName>
    <definedName name="AnnualOpexSaving">Model!$B$30</definedName>
    <definedName name="NetIncrCapex">Model!$B$31</definedName>
    <definedName name="SimplePayback">Model!$B$32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FF0B2545"/>
      <sz val="16"/>
    </font>
    <font>
      <name val="Arial"/>
      <i val="1"/>
      <color rgb="FF5B6670"/>
      <sz val="9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0B2545"/>
      <sz val="10"/>
    </font>
    <font>
      <name val="Arial"/>
      <b val="1"/>
      <color rgb="FF0B2545"/>
    </font>
    <font>
      <name val="Arial"/>
      <b val="1"/>
      <color rgb="FF0B2545"/>
      <sz val="20"/>
    </font>
  </fonts>
  <fills count="5">
    <fill>
      <patternFill/>
    </fill>
    <fill>
      <patternFill patternType="gray125"/>
    </fill>
    <fill>
      <patternFill patternType="solid">
        <fgColor rgb="FF0B2545"/>
      </patternFill>
    </fill>
    <fill>
      <patternFill patternType="solid">
        <fgColor rgb="FFFFF3D6"/>
      </patternFill>
    </fill>
    <fill>
      <patternFill patternType="solid">
        <fgColor rgb="FFEFF3F8"/>
      </patternFill>
    </fill>
  </fills>
  <borders count="2">
    <border>
      <left/>
      <right/>
      <top/>
      <bottom/>
      <diagonal/>
    </border>
    <border>
      <left style="thin">
        <color rgb="FFD2DAE2"/>
      </left>
      <right style="thin">
        <color rgb="FFD2DAE2"/>
      </right>
      <top style="thin">
        <color rgb="FFD2DAE2"/>
      </top>
      <bottom style="thin">
        <color rgb="FFD2DA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5" fontId="5" fillId="4" borderId="1" pivotButton="0" quotePrefix="0" xfId="0"/>
    <xf numFmtId="3" fontId="5" fillId="4" borderId="1" pivotButton="0" quotePrefix="0" xfId="0"/>
    <xf numFmtId="2" fontId="5" fillId="4" borderId="1" pivotButton="0" quotePrefix="0" xfId="0"/>
    <xf numFmtId="164" fontId="5" fillId="4" borderId="1" pivotButton="0" quotePrefix="0" xfId="0"/>
    <xf numFmtId="1" fontId="5" fillId="4" borderId="1" pivotButton="0" quotePrefix="0" xfId="0"/>
    <xf numFmtId="49" fontId="5" fillId="4" borderId="1" pivotButton="0" quotePrefix="0" xfId="0"/>
    <xf numFmtId="0" fontId="6" fillId="0" borderId="0" pivotButton="0" quotePrefix="0" xfId="0"/>
    <xf numFmtId="49" fontId="7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3" fontId="0" fillId="0" borderId="0" pivotButton="0" quotePrefix="0" xfId="0"/>
    <xf numFmtId="164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5-year TCO: Semi vs Diesel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'Dashboard'!$D$5:$D$6</f>
            </numRef>
          </cat>
          <val>
            <numRef>
              <f>'Dashboard'!$E$5:$E$6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</cols>
  <sheetData>
    <row r="1">
      <c r="A1" s="1" t="inlineStr">
        <is>
          <t>Tesla Semi · Benelux — TCO Model — Inputs</t>
        </is>
      </c>
    </row>
    <row r="2">
      <c r="A2" s="2" t="inlineStr">
        <is>
          <t>Edit the amber cells. Everything recalculates on the Model and Dashboard sheets.</t>
        </is>
      </c>
    </row>
    <row r="4">
      <c r="A4" s="3" t="inlineStr">
        <is>
          <t>Fleet &amp; duty cycle</t>
        </is>
      </c>
      <c r="B4" s="3" t="n"/>
      <c r="C4" s="3" t="n"/>
    </row>
    <row r="5">
      <c r="A5" s="4" t="inlineStr">
        <is>
          <t>Fleet size (trucks)</t>
        </is>
      </c>
      <c r="B5" s="5" t="n">
        <v>10</v>
      </c>
    </row>
    <row r="6">
      <c r="A6" s="4" t="inlineStr">
        <is>
          <t>Daily distance per truck (km)</t>
        </is>
      </c>
      <c r="B6" s="5" t="n">
        <v>350</v>
      </c>
    </row>
    <row r="7">
      <c r="A7" s="4" t="inlineStr">
        <is>
          <t>Operating days / year</t>
        </is>
      </c>
      <c r="B7" s="5" t="n">
        <v>300</v>
      </c>
    </row>
    <row r="8">
      <c r="A8" s="4" t="inlineStr">
        <is>
          <t>Average payload (t)</t>
        </is>
      </c>
      <c r="B8" s="5" t="n">
        <v>22</v>
      </c>
    </row>
    <row r="9">
      <c r="A9" s="4" t="inlineStr">
        <is>
          <t>Route factor (urban 1.15 / regional 1.00 / long-haul 1.08)</t>
        </is>
      </c>
      <c r="B9" s="6" t="n">
        <v>1</v>
      </c>
      <c r="C9" s="2" t="inlineStr">
        <is>
          <t>Multiplier on base kWh/km for the route profile.</t>
        </is>
      </c>
    </row>
    <row r="10">
      <c r="A10" s="4" t="inlineStr">
        <is>
          <t>Charging done at depot (fraction)</t>
        </is>
      </c>
      <c r="B10" s="6" t="n">
        <v>1</v>
      </c>
      <c r="C10" s="2" t="inlineStr">
        <is>
          <t>1.00 = all charging at depot.</t>
        </is>
      </c>
    </row>
    <row r="11">
      <c r="A11" s="4" t="inlineStr">
        <is>
          <t>Depot dwell / charging window (h)</t>
        </is>
      </c>
      <c r="B11" s="7" t="n">
        <v>9</v>
      </c>
    </row>
    <row r="12">
      <c r="A12" s="3" t="inlineStr">
        <is>
          <t>Energy &amp; prices</t>
        </is>
      </c>
      <c r="B12" s="3" t="n"/>
      <c r="C12" s="3" t="n"/>
    </row>
    <row r="13">
      <c r="A13" s="4" t="inlineStr">
        <is>
          <t>Semi consumption (kWh/km, base)</t>
        </is>
      </c>
      <c r="B13" s="6" t="n">
        <v>1.1</v>
      </c>
    </row>
    <row r="14">
      <c r="A14" s="4" t="inlineStr">
        <is>
          <t>Electricity price (EUR/kWh)</t>
        </is>
      </c>
      <c r="B14" s="8" t="n">
        <v>0.137</v>
      </c>
    </row>
    <row r="15">
      <c r="A15" s="4" t="inlineStr">
        <is>
          <t>Diesel price (EUR/L)</t>
        </is>
      </c>
      <c r="B15" s="6" t="n">
        <v>2.15</v>
      </c>
    </row>
    <row r="16">
      <c r="A16" s="4" t="inlineStr">
        <is>
          <t>Diesel use (L/100km)</t>
        </is>
      </c>
      <c r="B16" s="7" t="n">
        <v>32</v>
      </c>
    </row>
    <row r="17">
      <c r="A17" s="3" t="inlineStr">
        <is>
          <t>Charging &amp; site</t>
        </is>
      </c>
      <c r="B17" s="3" t="n"/>
      <c r="C17" s="3" t="n"/>
    </row>
    <row r="18">
      <c r="A18" s="4" t="inlineStr">
        <is>
          <t>Charger power (kW)</t>
        </is>
      </c>
      <c r="B18" s="5" t="n">
        <v>350</v>
      </c>
      <c r="C18" s="2" t="inlineStr">
        <is>
          <t>Depot charger; MCS Megacharger up to 1200 kW.</t>
        </is>
      </c>
    </row>
    <row r="19">
      <c r="A19" s="4" t="inlineStr">
        <is>
          <t>Depot grid capacity (kW)</t>
        </is>
      </c>
      <c r="B19" s="5" t="n">
        <v>1400</v>
      </c>
    </row>
    <row r="20">
      <c r="A20" s="4" t="inlineStr">
        <is>
          <t>Semi single-charge range (km)</t>
        </is>
      </c>
      <c r="B20" s="5" t="n">
        <v>800</v>
      </c>
    </row>
    <row r="21">
      <c r="A21" s="3" t="inlineStr">
        <is>
          <t>Capex, opex &amp; incentives</t>
        </is>
      </c>
      <c r="B21" s="3" t="n"/>
      <c r="C21" s="3" t="n"/>
    </row>
    <row r="22">
      <c r="A22" s="4" t="inlineStr">
        <is>
          <t>Semi acquisition cost (EUR/truck)</t>
        </is>
      </c>
      <c r="B22" s="9" t="n">
        <v>230000</v>
      </c>
    </row>
    <row r="23">
      <c r="A23" s="4" t="inlineStr">
        <is>
          <t>Diesel equivalent (EUR/truck)</t>
        </is>
      </c>
      <c r="B23" s="9" t="n">
        <v>130000</v>
      </c>
    </row>
    <row r="24">
      <c r="A24" s="4" t="inlineStr">
        <is>
          <t>Semi maintenance (EUR/km)</t>
        </is>
      </c>
      <c r="B24" s="6" t="n">
        <v>0.12</v>
      </c>
    </row>
    <row r="25">
      <c r="A25" s="4" t="inlineStr">
        <is>
          <t>Diesel maintenance (EUR/km)</t>
        </is>
      </c>
      <c r="B25" s="6" t="n">
        <v>0.19</v>
      </c>
    </row>
    <row r="26">
      <c r="A26" s="4" t="inlineStr">
        <is>
          <t>AanZET subsidy (EUR/truck)</t>
        </is>
      </c>
      <c r="B26" s="9" t="n">
        <v>38000</v>
      </c>
    </row>
    <row r="27">
      <c r="A27" s="4" t="inlineStr">
        <is>
          <t>Truck toll — vrachtwagenheffing (EUR/km)</t>
        </is>
      </c>
      <c r="B27" s="8" t="n">
        <v>0.167</v>
      </c>
    </row>
    <row r="28">
      <c r="A28" s="4" t="inlineStr">
        <is>
          <t>Zero-emission also pays toll? (1=yes,0=no)</t>
        </is>
      </c>
      <c r="B28" s="5" t="n">
        <v>0</v>
      </c>
    </row>
    <row r="29">
      <c r="A29" s="3" t="inlineStr">
        <is>
          <t>Analysis &amp; constants</t>
        </is>
      </c>
      <c r="B29" s="3" t="n"/>
      <c r="C29" s="3" t="n"/>
    </row>
    <row r="30">
      <c r="A30" s="4" t="inlineStr">
        <is>
          <t>Analysis horizon (years)</t>
        </is>
      </c>
      <c r="B30" s="5" t="n">
        <v>5</v>
      </c>
    </row>
    <row r="31">
      <c r="A31" s="4" t="inlineStr">
        <is>
          <t>Payload reference (t)</t>
        </is>
      </c>
      <c r="B31" s="5" t="n">
        <v>19</v>
      </c>
      <c r="C31" s="2" t="inlineStr">
        <is>
          <t>Energy rises above this payload.</t>
        </is>
      </c>
    </row>
    <row r="32">
      <c r="A32" s="4" t="inlineStr">
        <is>
          <t>Payload sensitivity (per t)</t>
        </is>
      </c>
      <c r="B32" s="8" t="n">
        <v>0.006</v>
      </c>
    </row>
    <row r="33">
      <c r="A33" s="4" t="inlineStr">
        <is>
          <t>Charge efficiency</t>
        </is>
      </c>
      <c r="B33" s="6" t="n">
        <v>0.92</v>
      </c>
    </row>
    <row r="34">
      <c r="A34" s="4" t="inlineStr">
        <is>
          <t>Usable grid capacity fraction</t>
        </is>
      </c>
      <c r="B34" s="6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</cols>
  <sheetData>
    <row r="1">
      <c r="A1" s="1" t="inlineStr">
        <is>
          <t>Model — calculated outputs (formulas reference the Inputs named ranges)</t>
        </is>
      </c>
    </row>
    <row r="3">
      <c r="A3" s="4" t="inlineStr">
        <is>
          <t>Effective consumption</t>
        </is>
      </c>
      <c r="B3" s="10">
        <f>SemiKwh*RouteFactor*(1+MAX(0,Payload-PayloadRef)*PayloadSens)</f>
        <v/>
      </c>
      <c r="C3" s="2" t="inlineStr">
        <is>
          <t>kWh/km</t>
        </is>
      </c>
    </row>
    <row r="4">
      <c r="A4" s="4" t="inlineStr">
        <is>
          <t>Daily energy per truck</t>
        </is>
      </c>
      <c r="B4" s="11">
        <f>DailyKm*EffKwh</f>
        <v/>
      </c>
      <c r="C4" s="2" t="inlineStr">
        <is>
          <t>kWh</t>
        </is>
      </c>
    </row>
    <row r="5">
      <c r="A5" s="4" t="inlineStr">
        <is>
          <t>Fleet energy per day</t>
        </is>
      </c>
      <c r="B5" s="11">
        <f>DailyPerTruck*FleetSize*DepotShare</f>
        <v/>
      </c>
      <c r="C5" s="2" t="inlineStr">
        <is>
          <t>kWh</t>
        </is>
      </c>
    </row>
    <row r="6">
      <c r="A6" s="4" t="inlineStr">
        <is>
          <t>Fleet energy per year</t>
        </is>
      </c>
      <c r="B6" s="11">
        <f>FleetDaily*OpDays</f>
        <v/>
      </c>
      <c r="C6" s="2" t="inlineStr">
        <is>
          <t>kWh</t>
        </is>
      </c>
    </row>
    <row r="7">
      <c r="A7" s="4" t="inlineStr">
        <is>
          <t>Fleet km per year</t>
        </is>
      </c>
      <c r="B7" s="11">
        <f>DailyKm*OpDays*FleetSize</f>
        <v/>
      </c>
      <c r="C7" s="2" t="inlineStr">
        <is>
          <t>km</t>
        </is>
      </c>
    </row>
    <row r="8">
      <c r="A8" s="4" t="inlineStr">
        <is>
          <t>Diesel litres displaced / yr</t>
        </is>
      </c>
      <c r="B8" s="11">
        <f>FleetAnnualKm*DieselL100/100</f>
        <v/>
      </c>
      <c r="C8" s="2" t="inlineStr">
        <is>
          <t>L</t>
        </is>
      </c>
    </row>
    <row r="9">
      <c r="A9" s="4" t="inlineStr">
        <is>
          <t>Charge time per truck</t>
        </is>
      </c>
      <c r="B9" s="12">
        <f>(DailyPerTruck*DepotShare)/(ChargerKw*ChargeEff)</f>
        <v/>
      </c>
      <c r="C9" s="2" t="inlineStr">
        <is>
          <t>h</t>
        </is>
      </c>
    </row>
    <row r="10">
      <c r="A10" s="4" t="inlineStr">
        <is>
          <t>Trucks per charger (in window)</t>
        </is>
      </c>
      <c r="B10" s="13">
        <f>MAX(1,Dwell/ChargeTime)</f>
        <v/>
      </c>
    </row>
    <row r="11">
      <c r="A11" s="4" t="inlineStr">
        <is>
          <t>Chargers needed</t>
        </is>
      </c>
      <c r="B11" s="14">
        <f>MAX(1,CEILING(FleetSize/TrucksPerCharger,1))</f>
        <v/>
      </c>
    </row>
    <row r="12">
      <c r="A12" s="4" t="inlineStr">
        <is>
          <t>Peak charging load</t>
        </is>
      </c>
      <c r="B12" s="11">
        <f>ChargersNeeded*ChargerKw</f>
        <v/>
      </c>
      <c r="C12" s="2" t="inlineStr">
        <is>
          <t>kW</t>
        </is>
      </c>
    </row>
    <row r="13">
      <c r="A13" s="4" t="inlineStr">
        <is>
          <t>Usable depot capacity</t>
        </is>
      </c>
      <c r="B13" s="11">
        <f>DepotKw*UsableCap</f>
        <v/>
      </c>
      <c r="C13" s="2" t="inlineStr">
        <is>
          <t>kW</t>
        </is>
      </c>
    </row>
    <row r="14">
      <c r="A14" s="4" t="inlineStr">
        <is>
          <t>Grid capacity status</t>
        </is>
      </c>
      <c r="B14" s="15">
        <f>IF(PeakLoad&lt;=UsableCapacity,"OK","Upgrade needed")</f>
        <v/>
      </c>
    </row>
    <row r="15">
      <c r="A15" s="4" t="inlineStr">
        <is>
          <t>Duty-cycle fit</t>
        </is>
      </c>
      <c r="B15" s="15">
        <f>IF(DailyKm&gt;SemiRange,"No fit",IF(ChargeTime&gt;Dwell,"Conditional",IF(PeakLoad&gt;UsableCapacity,"Conditional",IF(DailyKm&gt;0.85*SemiRange,"Conditional","Fit"))))</f>
        <v/>
      </c>
    </row>
    <row r="16">
      <c r="A16" s="16" t="inlineStr">
        <is>
          <t>— Economics —</t>
        </is>
      </c>
    </row>
    <row r="17">
      <c r="A17" s="4" t="inlineStr">
        <is>
          <t>Annual electricity cost</t>
        </is>
      </c>
      <c r="B17" s="11">
        <f>AnnualEnergy*ElecPrice</f>
        <v/>
      </c>
      <c r="C17" s="2" t="inlineStr">
        <is>
          <t>EUR</t>
        </is>
      </c>
    </row>
    <row r="18">
      <c r="A18" s="4" t="inlineStr">
        <is>
          <t>Annual diesel fuel cost</t>
        </is>
      </c>
      <c r="B18" s="11">
        <f>DieselLitresYr*DieselPrice</f>
        <v/>
      </c>
      <c r="C18" s="2" t="inlineStr">
        <is>
          <t>EUR</t>
        </is>
      </c>
    </row>
    <row r="19">
      <c r="A19" s="4" t="inlineStr">
        <is>
          <t>Semi toll / yr</t>
        </is>
      </c>
      <c r="B19" s="11">
        <f>IF(ZEPaysToll=1,TollKm*FleetAnnualKm,0)</f>
        <v/>
      </c>
      <c r="C19" s="2" t="inlineStr">
        <is>
          <t>EUR</t>
        </is>
      </c>
    </row>
    <row r="20">
      <c r="A20" s="4" t="inlineStr">
        <is>
          <t>Diesel toll / yr</t>
        </is>
      </c>
      <c r="B20" s="11">
        <f>TollKm*FleetAnnualKm</f>
        <v/>
      </c>
      <c r="C20" s="2" t="inlineStr">
        <is>
          <t>EUR</t>
        </is>
      </c>
    </row>
    <row r="21">
      <c r="A21" s="4" t="inlineStr">
        <is>
          <t>Semi net capex (fleet)</t>
        </is>
      </c>
      <c r="B21" s="11">
        <f>(SemiCapex-Aanzet)*FleetSize</f>
        <v/>
      </c>
      <c r="C21" s="2" t="inlineStr">
        <is>
          <t>EUR</t>
        </is>
      </c>
    </row>
    <row r="22">
      <c r="A22" s="4" t="inlineStr">
        <is>
          <t>Diesel capex (fleet)</t>
        </is>
      </c>
      <c r="B22" s="11">
        <f>DieselCapex*FleetSize</f>
        <v/>
      </c>
      <c r="C22" s="2" t="inlineStr">
        <is>
          <t>EUR</t>
        </is>
      </c>
    </row>
    <row r="23">
      <c r="A23" s="4" t="inlineStr">
        <is>
          <t>Semi opex / yr</t>
        </is>
      </c>
      <c r="B23" s="11">
        <f>AnnualEnergyCost+SemiMaintKm*FleetAnnualKm+SemiToll</f>
        <v/>
      </c>
      <c r="C23" s="2" t="inlineStr">
        <is>
          <t>EUR</t>
        </is>
      </c>
    </row>
    <row r="24">
      <c r="A24" s="4" t="inlineStr">
        <is>
          <t>Diesel opex / yr</t>
        </is>
      </c>
      <c r="B24" s="11">
        <f>AnnualDieselFuel+DieselMaintKm*FleetAnnualKm+DieselToll</f>
        <v/>
      </c>
      <c r="C24" s="2" t="inlineStr">
        <is>
          <t>EUR</t>
        </is>
      </c>
    </row>
    <row r="25">
      <c r="A25" s="4" t="inlineStr">
        <is>
          <t>Semi TCO (horizon)</t>
        </is>
      </c>
      <c r="B25" s="11">
        <f>SemiCapexNet+SemiOpexYr*Years</f>
        <v/>
      </c>
      <c r="C25" s="2" t="inlineStr">
        <is>
          <t>EUR</t>
        </is>
      </c>
    </row>
    <row r="26">
      <c r="A26" s="4" t="inlineStr">
        <is>
          <t>Diesel TCO (horizon)</t>
        </is>
      </c>
      <c r="B26" s="11">
        <f>DieselCapexTotal+DieselOpexYr*Years</f>
        <v/>
      </c>
      <c r="C26" s="2" t="inlineStr">
        <is>
          <t>EUR</t>
        </is>
      </c>
    </row>
    <row r="27">
      <c r="A27" s="4" t="inlineStr">
        <is>
          <t>TCO saving (Diesel − Semi)</t>
        </is>
      </c>
      <c r="B27" s="11">
        <f>DieselTCO-SemiTCO</f>
        <v/>
      </c>
      <c r="C27" s="2" t="inlineStr">
        <is>
          <t>EUR</t>
        </is>
      </c>
    </row>
    <row r="28">
      <c r="A28" s="4" t="inlineStr">
        <is>
          <t>Semi cost per km</t>
        </is>
      </c>
      <c r="B28" s="10">
        <f>SemiTCO/(FleetAnnualKm*Years)</f>
        <v/>
      </c>
      <c r="C28" s="2" t="inlineStr">
        <is>
          <t>EUR/km</t>
        </is>
      </c>
    </row>
    <row r="29">
      <c r="A29" s="4" t="inlineStr">
        <is>
          <t>Diesel cost per km</t>
        </is>
      </c>
      <c r="B29" s="10">
        <f>DieselTCO/(FleetAnnualKm*Years)</f>
        <v/>
      </c>
      <c r="C29" s="2" t="inlineStr">
        <is>
          <t>EUR/km</t>
        </is>
      </c>
    </row>
    <row r="30">
      <c r="A30" s="4" t="inlineStr">
        <is>
          <t>Annual opex saving</t>
        </is>
      </c>
      <c r="B30" s="11">
        <f>DieselOpexYr-SemiOpexYr</f>
        <v/>
      </c>
      <c r="C30" s="2" t="inlineStr">
        <is>
          <t>EUR</t>
        </is>
      </c>
    </row>
    <row r="31">
      <c r="A31" s="4" t="inlineStr">
        <is>
          <t>Net incremental capex</t>
        </is>
      </c>
      <c r="B31" s="11">
        <f>SemiCapexNet-DieselCapexTotal</f>
        <v/>
      </c>
      <c r="C31" s="2" t="inlineStr">
        <is>
          <t>EUR</t>
        </is>
      </c>
    </row>
    <row r="32">
      <c r="A32" s="4" t="inlineStr">
        <is>
          <t>Simple payback</t>
        </is>
      </c>
      <c r="B32" s="13">
        <f>IF(NetIncrCapex&lt;=0,0,IF(AnnualOpexSaving&lt;=0,"No payback",NetIncrCapex/AnnualOpexSaving))</f>
        <v/>
      </c>
      <c r="C32" s="2" t="inlineStr">
        <is>
          <t>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" customWidth="1" min="3" max="3"/>
    <col width="18" customWidth="1" min="4" max="4"/>
    <col width="18" customWidth="1" min="5" max="5"/>
  </cols>
  <sheetData>
    <row r="1">
      <c r="A1" s="1" t="inlineStr">
        <is>
          <t>Tesla Semi · Benelux — Business Case Dashboard</t>
        </is>
      </c>
    </row>
    <row r="2">
      <c r="A2" s="2" t="inlineStr">
        <is>
          <t>Headline outputs. All figures flow from the Inputs sheet.</t>
        </is>
      </c>
    </row>
    <row r="4">
      <c r="A4" s="4" t="inlineStr">
        <is>
          <t>Duty-cycle fit</t>
        </is>
      </c>
      <c r="B4" s="17">
        <f>DutyFit</f>
        <v/>
      </c>
      <c r="D4" s="16" t="inlineStr">
        <is>
          <t>Powertrain</t>
        </is>
      </c>
      <c r="E4" s="16" t="inlineStr">
        <is>
          <t>TCO (EUR)</t>
        </is>
      </c>
    </row>
    <row r="5">
      <c r="A5" s="4" t="inlineStr">
        <is>
          <t>TCO saving over horizon (EUR)</t>
        </is>
      </c>
      <c r="B5" s="18">
        <f>Saving</f>
        <v/>
      </c>
      <c r="D5" t="inlineStr">
        <is>
          <t>Tesla Semi</t>
        </is>
      </c>
      <c r="E5" s="19">
        <f>SemiTCO</f>
        <v/>
      </c>
    </row>
    <row r="6">
      <c r="A6" s="4" t="inlineStr">
        <is>
          <t>Simple payback (years)</t>
        </is>
      </c>
      <c r="B6" s="20">
        <f>SimplePayback</f>
        <v/>
      </c>
      <c r="D6" t="inlineStr">
        <is>
          <t>Diesel</t>
        </is>
      </c>
      <c r="E6" s="19">
        <f>DieselTCO</f>
        <v/>
      </c>
    </row>
    <row r="7">
      <c r="A7" s="4" t="inlineStr">
        <is>
          <t>Fleet energy / year (kWh)</t>
        </is>
      </c>
      <c r="B7" s="18">
        <f>AnnualEnergy</f>
        <v/>
      </c>
    </row>
    <row r="8">
      <c r="A8" s="4" t="inlineStr">
        <is>
          <t>Chargers needed</t>
        </is>
      </c>
      <c r="B8" s="21">
        <f>ChargersNeeded</f>
        <v/>
      </c>
    </row>
    <row r="9">
      <c r="A9" s="4" t="inlineStr">
        <is>
          <t>Peak load vs capacity</t>
        </is>
      </c>
      <c r="B9" s="17">
        <f>PeakLoad&amp;" / "&amp;UsableCapacity&amp;" kW ("&amp;CapacityOK&amp;")"</f>
        <v/>
      </c>
    </row>
    <row r="10">
      <c r="A10" s="4" t="inlineStr">
        <is>
          <t>Semi €/km vs Diesel €/km</t>
        </is>
      </c>
      <c r="B10" s="17">
        <f>TEXT(SemiCPK,"0.000")&amp;" vs "&amp;TEXT(DieselCPK,"0.000")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Sources &amp; assumptions</t>
        </is>
      </c>
    </row>
    <row r="3">
      <c r="A3" s="22" t="inlineStr">
        <is>
          <t>Semi efficiency / range / Megacharger</t>
        </is>
      </c>
      <c r="B3" s="23" t="inlineStr">
        <is>
          <t>~1.1 kWh/km (~1.7 kWh/mile, PepsiCo real-world). MCS Megacharger up to 1.2 MW.</t>
        </is>
      </c>
    </row>
    <row r="4">
      <c r="A4" s="22" t="inlineStr">
        <is>
          <t>AanZET subsidy</t>
        </is>
      </c>
      <c r="B4" s="23" t="inlineStr">
        <is>
          <t>Aanschafsubsidie Zero-Emissie Trucks (AanZET) — indicative per-vehicle grant for a heavy ZE tractor unit; varies by GVW class and annual budget round. Confirm current round at RVO before external use.</t>
        </is>
      </c>
    </row>
    <row r="5">
      <c r="A5" s="22" t="inlineStr">
        <is>
          <t>Truck toll (vrachtwagenheffing)</t>
        </is>
      </c>
      <c r="B5" s="23" t="inlineStr">
        <is>
          <t>Dutch vrachtwagenheffing, live 2026. Indicative average tariff for a heavy tractor-trailer. Diesel trucks pay; zero-emission trucks are expected to receive a reduced/zero tariff (revenue recycled into freight greening). Confirm exact tariff band.</t>
        </is>
      </c>
    </row>
    <row r="6">
      <c r="A6" s="22" t="inlineStr">
        <is>
          <t>Electricity &amp; diesel prices</t>
        </is>
      </c>
      <c r="B6" s="23" t="inlineStr">
        <is>
          <t>NL industrial electricity (Eurostat/Intratec); NL diesel pump (GlobalPetrolPrices)</t>
        </is>
      </c>
    </row>
    <row r="7">
      <c r="A7" s="22" t="inlineStr">
        <is>
          <t>Last updated</t>
        </is>
      </c>
      <c r="B7" s="23" t="inlineStr">
        <is>
          <t>2026-06-14</t>
        </is>
      </c>
    </row>
    <row r="8">
      <c r="A8" s="22" t="inlineStr">
        <is>
          <t>Note</t>
        </is>
      </c>
      <c r="B8" s="23" t="inlineStr">
        <is>
          <t>Public, illustrative defaults for scoping. Confirm against primary sources before contracting.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2026-06-14T12:00:17Z</dcterms:created>
  <dcterms:modified xmlns:dcterms="http://purl.org/dc/terms/" xmlns:xsi="http://www.w3.org/2001/XMLSchema-instance" xsi:type="dcterms:W3CDTF">2026-06-14T12:00:17Z</dcterms:modified>
</cp:coreProperties>
</file>